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dora ROI" sheetId="1" r:id="rId5"/>
  </sheets>
  <definedNames/>
  <calcPr/>
</workbook>
</file>

<file path=xl/sharedStrings.xml><?xml version="1.0" encoding="utf-8"?>
<sst xmlns="http://schemas.openxmlformats.org/spreadsheetml/2006/main" count="32" uniqueCount="32">
  <si>
    <t>MAKSA · AVARE BIOTECH · avareit.com</t>
  </si>
  <si>
    <t>O Custo de Errar</t>
  </si>
  <si>
    <t>Calculadora de ROI para a qualidade do sêmen no momento do uso. Preencha as células verdes com os seus números — o restante é calculado automaticamente.</t>
  </si>
  <si>
    <t>SEUS DADOS</t>
  </si>
  <si>
    <t>Edite apenas as células verdes na coluna C.</t>
  </si>
  <si>
    <t>Tamanho do rebanho (vacas em reprodução)</t>
  </si>
  <si>
    <t>Taxa de concepção AGORA (%)</t>
  </si>
  <si>
    <t>ex.: o resultado desta estação</t>
  </si>
  <si>
    <t>Taxa de concepção — seu normal / meta (%)</t>
  </si>
  <si>
    <t>a taxa que você normalmente espera</t>
  </si>
  <si>
    <t>Preço do bezerro na desmama (R$/cabeça)</t>
  </si>
  <si>
    <t>use o preço da sua região</t>
  </si>
  <si>
    <t>Custo do sêmen por dose / palheta (R$)</t>
  </si>
  <si>
    <t>Doses usadas por estação</t>
  </si>
  <si>
    <t>Pontos percentuais perdidos (calculado para você)</t>
  </si>
  <si>
    <t>meta − agora. É isso que determina a perda abaixo.</t>
  </si>
  <si>
    <t>SUA PERDA ESTIMADA NESTA ESTAÇÃO</t>
  </si>
  <si>
    <t>Perda por vaca a cada 1 ponto de queda na taxa de prenhez (R$)</t>
  </si>
  <si>
    <t>preço do bezerro ÷ 100. Cada ponto perdido em 100 vacas = 1 bezerro a menos. Preço-base: CEPEA/ESALQ, 2026</t>
  </si>
  <si>
    <t>Perda estimada nesta estação</t>
  </si>
  <si>
    <t>PONTO DE EQUILÍBRIO: VERIFICAR NO CAMPO VS. NÃO FAZER NADA</t>
  </si>
  <si>
    <t>Custo por verificação no campo (R$ — tarifa MAKSA)</t>
  </si>
  <si>
    <t>≈ R$ 5 por teste no Brasil</t>
  </si>
  <si>
    <t>Custo total de verificação nesta estação (R$)</t>
  </si>
  <si>
    <t>Benefício líquido se a verificação evitar a sua perda estimada (R$)</t>
  </si>
  <si>
    <t>REFERÊNCIA DE ESCALA (não vinculada aos seus dados)</t>
  </si>
  <si>
    <t>Tamanho do rebanho</t>
  </si>
  <si>
    <t>Queda de 1 ponto (R$)</t>
  </si>
  <si>
    <t>Queda de 3 pontos (R$)</t>
  </si>
  <si>
    <t>POR QUE ISSO IMPORTA</t>
  </si>
  <si>
    <t>A qualidade do sêmen no momento da inseminação decide a prenhez — não o laudo do laboratório de dias antes. Verificar cada dose no momento do uso fecha essa lacuna.</t>
  </si>
  <si>
    <t>MAKSA — ferramenta veterinária de campo. Mais de 1.000 testes de campo, 10+ países, 5 espécies. Validada r&gt;0,90 para motilidade e motilidade progressiva vs. equipamento CASA de laboratório. Apoiada pelo Al-Maktoum Family Office. Medição de concentração em desenvolvimento ativo. avareit.com · WhatsApp +971 50 641 2775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</si>
</sst>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 &quot;#,##0"/>
    <numFmt numFmtId="165" formatCode="0.0"/>
    <numFmt numFmtId="166" formatCode="&quot;R$ &quot;#,##0.00"/>
  </numFmts>
  <fonts count="16">
    <font>
      <sz val="11.0"/>
      <color theme="1"/>
      <name val="Calibri"/>
      <scheme val="minor"/>
    </font>
    <font>
      <b/>
      <sz val="10.0"/>
      <color rgb="FF57624A"/>
      <name val="Arial"/>
    </font>
    <font>
      <b/>
      <sz val="20.0"/>
      <color rgb="FF1A1A1A"/>
      <name val="Arial"/>
    </font>
    <font>
      <sz val="11.0"/>
      <color rgb="FF6E6E6E"/>
      <name val="Arial"/>
    </font>
    <font>
      <b/>
      <sz val="12.0"/>
      <color rgb="FFFFFFFF"/>
      <name val="Arial"/>
    </font>
    <font/>
    <font>
      <i/>
      <sz val="9.0"/>
      <color rgb="FF6E6E6E"/>
      <name val="Arial"/>
    </font>
    <font>
      <sz val="11.0"/>
      <color rgb="FF1A1A1A"/>
      <name val="Arial"/>
    </font>
    <font>
      <b/>
      <sz val="11.0"/>
      <color rgb="FF0000FF"/>
      <name val="Arial"/>
    </font>
    <font>
      <b/>
      <sz val="11.0"/>
      <color rgb="FF1A1A1A"/>
      <name val="Arial"/>
    </font>
    <font>
      <b/>
      <sz val="13.0"/>
      <color rgb="FFFFFFFF"/>
      <name val="Arial"/>
    </font>
    <font>
      <b/>
      <sz val="18.0"/>
      <color rgb="FFFFFFFF"/>
      <name val="Arial"/>
    </font>
    <font>
      <b/>
      <sz val="12.0"/>
      <color rgb="FF57624A"/>
      <name val="Arial"/>
    </font>
    <font>
      <b/>
      <sz val="10.0"/>
      <color rgb="FF6E6E6E"/>
      <name val="Arial"/>
    </font>
    <font>
      <b/>
      <sz val="11.0"/>
      <color rgb="FF57624A"/>
      <name val="Arial"/>
    </font>
    <font>
      <sz val="9.0"/>
      <color rgb="FF6E6E6E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7624A"/>
        <bgColor rgb="FF57624A"/>
      </patternFill>
    </fill>
    <fill>
      <patternFill patternType="solid">
        <fgColor rgb="FFEEF0E7"/>
        <bgColor rgb="FFEEF0E7"/>
      </patternFill>
    </fill>
    <fill>
      <patternFill patternType="solid">
        <fgColor rgb="FFF6F6F6"/>
        <bgColor rgb="FFF6F6F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1"/>
    </xf>
    <xf borderId="1" fillId="2" fontId="4" numFmtId="0" xfId="0" applyAlignment="1" applyBorder="1" applyFill="1" applyFont="1">
      <alignment horizontal="left" shrinkToFit="0" vertical="center" wrapText="0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3" fontId="8" numFmtId="1" xfId="0" applyAlignment="1" applyBorder="1" applyFill="1" applyFont="1" applyNumberFormat="1">
      <alignment horizontal="center" shrinkToFit="0" vertical="center" wrapText="0"/>
    </xf>
    <xf borderId="4" fillId="3" fontId="8" numFmtId="164" xfId="0" applyAlignment="1" applyBorder="1" applyFont="1" applyNumberFormat="1">
      <alignment horizontal="center" shrinkToFit="0" vertical="center" wrapText="0"/>
    </xf>
    <xf borderId="4" fillId="4" fontId="9" numFmtId="0" xfId="0" applyAlignment="1" applyBorder="1" applyFill="1" applyFont="1">
      <alignment horizontal="left" shrinkToFit="0" vertical="center" wrapText="1"/>
    </xf>
    <xf borderId="4" fillId="4" fontId="9" numFmtId="165" xfId="0" applyAlignment="1" applyBorder="1" applyFont="1" applyNumberFormat="1">
      <alignment horizontal="center" shrinkToFit="0" vertical="center" wrapText="0"/>
    </xf>
    <xf borderId="4" fillId="0" fontId="9" numFmtId="166" xfId="0" applyAlignment="1" applyBorder="1" applyFont="1" applyNumberFormat="1">
      <alignment horizontal="center" shrinkToFit="0" vertical="center" wrapText="0"/>
    </xf>
    <xf borderId="5" fillId="2" fontId="10" numFmtId="0" xfId="0" applyAlignment="1" applyBorder="1" applyFont="1">
      <alignment horizontal="left" shrinkToFit="0" vertical="center" wrapText="1"/>
    </xf>
    <xf borderId="1" fillId="2" fontId="11" numFmtId="164" xfId="0" applyAlignment="1" applyBorder="1" applyFont="1" applyNumberFormat="1">
      <alignment horizontal="center" shrinkToFit="0" vertical="center" wrapText="0"/>
    </xf>
    <xf borderId="4" fillId="3" fontId="8" numFmtId="166" xfId="0" applyAlignment="1" applyBorder="1" applyFont="1" applyNumberFormat="1">
      <alignment horizontal="center" shrinkToFit="0" vertical="center" wrapText="0"/>
    </xf>
    <xf borderId="4" fillId="0" fontId="9" numFmtId="164" xfId="0" applyAlignment="1" applyBorder="1" applyFont="1" applyNumberFormat="1">
      <alignment horizontal="center" shrinkToFit="0" vertical="center" wrapText="0"/>
    </xf>
    <xf borderId="4" fillId="4" fontId="12" numFmtId="164" xfId="0" applyAlignment="1" applyBorder="1" applyFont="1" applyNumberFormat="1">
      <alignment horizontal="center" shrinkToFit="0" vertical="center" wrapText="0"/>
    </xf>
    <xf borderId="4" fillId="4" fontId="13" numFmtId="0" xfId="0" applyAlignment="1" applyBorder="1" applyFont="1">
      <alignment horizontal="left" shrinkToFit="0" vertical="center" wrapText="0"/>
    </xf>
    <xf borderId="4" fillId="4" fontId="13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left" shrinkToFit="0" vertical="center" wrapText="0"/>
    </xf>
    <xf borderId="4" fillId="0" fontId="7" numFmtId="164" xfId="0" applyAlignment="1" applyBorder="1" applyFont="1" applyNumberFormat="1">
      <alignment horizontal="center" shrinkToFit="0" vertical="center" wrapText="0"/>
    </xf>
    <xf borderId="4" fillId="4" fontId="9" numFmtId="0" xfId="0" applyAlignment="1" applyBorder="1" applyFont="1">
      <alignment horizontal="left" shrinkToFit="0" vertical="center" wrapText="0"/>
    </xf>
    <xf borderId="4" fillId="4" fontId="9" numFmtId="164" xfId="0" applyAlignment="1" applyBorder="1" applyFont="1" applyNumberFormat="1">
      <alignment horizontal="center" shrinkToFit="0" vertical="center" wrapText="0"/>
    </xf>
    <xf borderId="0" fillId="0" fontId="14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shrinkToFit="0" vertical="top" wrapText="1"/>
    </xf>
    <xf borderId="0" fillId="0" fontId="15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276225</xdr:colOff>
      <xdr:row>0</xdr:row>
      <xdr:rowOff>142875</xdr:rowOff>
    </xdr:from>
    <xdr:ext cx="742950" cy="276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4.0"/>
    <col customWidth="1" min="3" max="3" width="16.0"/>
    <col customWidth="1" min="4" max="4" width="18.0"/>
    <col customWidth="1" min="5" max="5" width="16.0"/>
    <col customWidth="1" min="6" max="6" width="3.0"/>
    <col customWidth="1" min="7" max="26" width="8.71"/>
  </cols>
  <sheetData>
    <row r="2">
      <c r="B2" s="1" t="s">
        <v>0</v>
      </c>
    </row>
    <row r="3" ht="27.75" customHeight="1">
      <c r="B3" s="2" t="s">
        <v>1</v>
      </c>
    </row>
    <row r="4" ht="30.0" customHeight="1">
      <c r="B4" s="3" t="s">
        <v>2</v>
      </c>
    </row>
    <row r="6" ht="21.75" customHeight="1">
      <c r="B6" s="4" t="s">
        <v>3</v>
      </c>
      <c r="C6" s="5"/>
      <c r="D6" s="5"/>
      <c r="E6" s="6"/>
    </row>
    <row r="7" ht="13.5" customHeight="1">
      <c r="B7" s="7" t="s">
        <v>4</v>
      </c>
    </row>
    <row r="8" ht="25.5" customHeight="1">
      <c r="B8" s="8" t="s">
        <v>5</v>
      </c>
      <c r="C8" s="9">
        <v>300.0</v>
      </c>
      <c r="D8" s="7"/>
    </row>
    <row r="9" ht="25.5" customHeight="1">
      <c r="B9" s="8" t="s">
        <v>6</v>
      </c>
      <c r="C9" s="9">
        <v>85.0</v>
      </c>
      <c r="D9" s="7" t="s">
        <v>7</v>
      </c>
    </row>
    <row r="10" ht="25.5" customHeight="1">
      <c r="B10" s="8" t="s">
        <v>8</v>
      </c>
      <c r="C10" s="9">
        <v>88.0</v>
      </c>
      <c r="D10" s="7" t="s">
        <v>9</v>
      </c>
    </row>
    <row r="11" ht="25.5" customHeight="1">
      <c r="B11" s="8" t="s">
        <v>10</v>
      </c>
      <c r="C11" s="10">
        <v>3200.0</v>
      </c>
      <c r="D11" s="7" t="s">
        <v>11</v>
      </c>
    </row>
    <row r="12" ht="25.5" customHeight="1">
      <c r="B12" s="8" t="s">
        <v>12</v>
      </c>
      <c r="C12" s="10">
        <v>25.0</v>
      </c>
      <c r="D12" s="7"/>
    </row>
    <row r="13" ht="25.5" customHeight="1">
      <c r="B13" s="8" t="s">
        <v>13</v>
      </c>
      <c r="C13" s="9">
        <v>320.0</v>
      </c>
      <c r="D13" s="7"/>
    </row>
    <row r="14" ht="25.5" customHeight="1">
      <c r="B14" s="11" t="s">
        <v>14</v>
      </c>
      <c r="C14" s="12">
        <f>MAX(0,C10-C9)</f>
        <v>3</v>
      </c>
      <c r="D14" s="7" t="s">
        <v>15</v>
      </c>
    </row>
    <row r="16" ht="21.75" customHeight="1">
      <c r="B16" s="4" t="s">
        <v>16</v>
      </c>
      <c r="C16" s="5"/>
      <c r="D16" s="5"/>
      <c r="E16" s="6"/>
    </row>
    <row r="17" ht="41.25" customHeight="1">
      <c r="B17" s="8" t="s">
        <v>17</v>
      </c>
      <c r="C17" s="13">
        <f>C11/100</f>
        <v>32</v>
      </c>
      <c r="D17" s="7" t="s">
        <v>18</v>
      </c>
    </row>
    <row r="18" ht="33.75" customHeight="1">
      <c r="B18" s="14" t="s">
        <v>19</v>
      </c>
      <c r="C18" s="15">
        <f>C8*C14*C17</f>
        <v>28800</v>
      </c>
      <c r="D18" s="5"/>
      <c r="E18" s="6"/>
    </row>
    <row r="20" ht="21.75" customHeight="1">
      <c r="B20" s="4" t="s">
        <v>20</v>
      </c>
      <c r="C20" s="5"/>
      <c r="D20" s="5"/>
      <c r="E20" s="6"/>
    </row>
    <row r="21" ht="24.0" customHeight="1">
      <c r="B21" s="8" t="s">
        <v>21</v>
      </c>
      <c r="C21" s="16">
        <v>5.0</v>
      </c>
      <c r="D21" s="7" t="s">
        <v>22</v>
      </c>
    </row>
    <row r="22" ht="24.0" customHeight="1">
      <c r="B22" s="8" t="s">
        <v>23</v>
      </c>
      <c r="C22" s="17">
        <f>C13*C21</f>
        <v>1600</v>
      </c>
    </row>
    <row r="23" ht="25.5" customHeight="1">
      <c r="B23" s="11" t="s">
        <v>24</v>
      </c>
      <c r="C23" s="18">
        <f>C18-C22</f>
        <v>27200</v>
      </c>
    </row>
    <row r="24" ht="15.75" customHeight="1"/>
    <row r="25" ht="21.75" customHeight="1">
      <c r="B25" s="4" t="s">
        <v>25</v>
      </c>
      <c r="C25" s="5"/>
      <c r="D25" s="5"/>
      <c r="E25" s="6"/>
    </row>
    <row r="26" ht="19.5" customHeight="1">
      <c r="B26" s="19" t="s">
        <v>26</v>
      </c>
      <c r="C26" s="20" t="s">
        <v>27</v>
      </c>
      <c r="D26" s="20" t="s">
        <v>28</v>
      </c>
    </row>
    <row r="27" ht="19.5" customHeight="1">
      <c r="B27" s="21">
        <v>100.0</v>
      </c>
      <c r="C27" s="22">
        <f>100*1*C17</f>
        <v>3200</v>
      </c>
      <c r="D27" s="22">
        <f>100*3*C17</f>
        <v>9600</v>
      </c>
    </row>
    <row r="28" ht="19.5" customHeight="1">
      <c r="B28" s="23">
        <v>300.0</v>
      </c>
      <c r="C28" s="24">
        <f>300*1*C17</f>
        <v>9600</v>
      </c>
      <c r="D28" s="24">
        <f>300*3*C17</f>
        <v>28800</v>
      </c>
    </row>
    <row r="29" ht="19.5" customHeight="1">
      <c r="B29" s="21">
        <v>500.0</v>
      </c>
      <c r="C29" s="22">
        <f>500*1*C17</f>
        <v>16000</v>
      </c>
      <c r="D29" s="22">
        <f>500*3*C17</f>
        <v>48000</v>
      </c>
    </row>
    <row r="30" ht="19.5" customHeight="1">
      <c r="B30" s="21">
        <v>1000.0</v>
      </c>
      <c r="C30" s="22">
        <f>1000*1*C17</f>
        <v>32000</v>
      </c>
      <c r="D30" s="22">
        <f>1000*3*C17</f>
        <v>96000</v>
      </c>
    </row>
    <row r="31" ht="15.75" customHeight="1"/>
    <row r="32" ht="15.75" customHeight="1">
      <c r="B32" s="25" t="s">
        <v>29</v>
      </c>
    </row>
    <row r="33" ht="30.0" customHeight="1">
      <c r="B33" s="26" t="s">
        <v>30</v>
      </c>
    </row>
    <row r="34" ht="15.75" customHeight="1"/>
    <row r="35" ht="15.75" customHeight="1"/>
    <row r="36" ht="15.75" customHeight="1">
      <c r="B36" s="27" t="s">
        <v>31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2:E2"/>
    <mergeCell ref="B3:E3"/>
    <mergeCell ref="B4:E4"/>
    <mergeCell ref="B6:E6"/>
    <mergeCell ref="B7:E7"/>
    <mergeCell ref="D8:E8"/>
    <mergeCell ref="D9:E9"/>
    <mergeCell ref="C18:E18"/>
    <mergeCell ref="B20:E20"/>
    <mergeCell ref="D21:E21"/>
    <mergeCell ref="B25:E25"/>
    <mergeCell ref="B32:E32"/>
    <mergeCell ref="B33:E34"/>
    <mergeCell ref="B36:E38"/>
    <mergeCell ref="D10:E10"/>
    <mergeCell ref="D11:E11"/>
    <mergeCell ref="D12:E12"/>
    <mergeCell ref="D13:E13"/>
    <mergeCell ref="D14:E14"/>
    <mergeCell ref="B16:E16"/>
    <mergeCell ref="D17:E17"/>
  </mergeCells>
  <printOptions/>
  <pageMargins bottom="1.0" footer="0.0" header="0.0" left="0.75" right="0.75" top="1.0"/>
  <pageSetup paperSize="9" orientation="portrait"/>
  <drawing r:id="rId1"/>
</worksheet>
</file>