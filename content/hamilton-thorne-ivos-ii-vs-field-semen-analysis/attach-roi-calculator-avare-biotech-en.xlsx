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Calculator" sheetId="1" r:id="rId5"/>
  </sheets>
  <definedNames/>
  <calcPr/>
</workbook>
</file>

<file path=xl/sharedStrings.xml><?xml version="1.0" encoding="utf-8"?>
<sst xmlns="http://schemas.openxmlformats.org/spreadsheetml/2006/main" count="32" uniqueCount="32">
  <si>
    <t>MAKSA · AVARE BIOTECH · avareit.com</t>
  </si>
  <si>
    <t>Cost of Getting It Wrong</t>
  </si>
  <si>
    <t>ROI calculator for semen quality at the point of use. Fill in the green cells with your own numbers — everything else updates automatically.</t>
  </si>
  <si>
    <t>YOUR INPUTS</t>
  </si>
  <si>
    <t>Edit only the green cells in column C.</t>
  </si>
  <si>
    <t>Herd size (cows exposed to breeding)</t>
  </si>
  <si>
    <t>Conception rate NOW (%)</t>
  </si>
  <si>
    <t>e.g. this season's result</t>
  </si>
  <si>
    <t>Conception rate — your normal / target (%)</t>
  </si>
  <si>
    <t>the rate you'd normally expect</t>
  </si>
  <si>
    <t>Weaned calf price ($ / head)</t>
  </si>
  <si>
    <t>use your local market price</t>
  </si>
  <si>
    <t>Semen cost per dose / straw ($)</t>
  </si>
  <si>
    <t>Doses used per season</t>
  </si>
  <si>
    <t>Percentage points dropped (calculated for you)</t>
  </si>
  <si>
    <t>target − now. This is what drives the loss below.</t>
  </si>
  <si>
    <t>YOUR ESTIMATED LOSS THIS SEASON</t>
  </si>
  <si>
    <t>Loss per cow for each 1-point drop in pregnancy rate ($)</t>
  </si>
  <si>
    <t>calf price / 100. Each point lost across 100 cows = 1 fewer calf. Price basis: USDA ERS / AMS, 2026</t>
  </si>
  <si>
    <t>Estimated loss this season</t>
  </si>
  <si>
    <t>BREAKEVEN: FIELD CHECK VS. DOING NOTHING</t>
  </si>
  <si>
    <t>Cost per field check ($ — MAKSA rate)</t>
  </si>
  <si>
    <t>≈ $1 per test</t>
  </si>
  <si>
    <t>Total field-check cost this season ($)</t>
  </si>
  <si>
    <t>Net benefit if the check prevents your estimated loss ($)</t>
  </si>
  <si>
    <t>SCALE REFERENCE (not tied to your inputs)</t>
  </si>
  <si>
    <t>Herd size</t>
  </si>
  <si>
    <t>1-point drop ($)</t>
  </si>
  <si>
    <t>3-point drop ($)</t>
  </si>
  <si>
    <t>WHY THIS MATTERS</t>
  </si>
  <si>
    <t>The semen quality at the moment of insemination decides the pregnancy — not the lab report from days earlier. Checking every dose at the point of use closes that gap.</t>
  </si>
  <si>
    <t>MAKSA — veterinary field tool. 1,000+ field tests, 10+ countries, 5 species. Validated r&gt;0.90 for motility and progressive motility vs. lab CASA equipment. Backed by Al-Maktoum Family Office. Concentration measurement in active development. avareit.com · WhatsApp +971 50 641 2775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</si>
</sst>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"/>
    <numFmt numFmtId="166" formatCode="\$#,##0.00"/>
  </numFmts>
  <fonts count="16">
    <font>
      <sz val="11.0"/>
      <color theme="1"/>
      <name val="Calibri"/>
      <scheme val="minor"/>
    </font>
    <font>
      <b/>
      <sz val="10.0"/>
      <color rgb="FF57624A"/>
      <name val="Arial"/>
    </font>
    <font>
      <b/>
      <sz val="20.0"/>
      <color rgb="FF1A1A1A"/>
      <name val="Arial"/>
    </font>
    <font>
      <sz val="11.0"/>
      <color rgb="FF6E6E6E"/>
      <name val="Arial"/>
    </font>
    <font>
      <b/>
      <sz val="12.0"/>
      <color rgb="FFFFFFFF"/>
      <name val="Arial"/>
    </font>
    <font/>
    <font>
      <i/>
      <sz val="9.0"/>
      <color rgb="FF6E6E6E"/>
      <name val="Arial"/>
    </font>
    <font>
      <sz val="11.0"/>
      <color rgb="FF1A1A1A"/>
      <name val="Arial"/>
    </font>
    <font>
      <b/>
      <sz val="11.0"/>
      <color rgb="FF0000FF"/>
      <name val="Arial"/>
    </font>
    <font>
      <b/>
      <sz val="11.0"/>
      <color rgb="FF1A1A1A"/>
      <name val="Arial"/>
    </font>
    <font>
      <b/>
      <sz val="13.0"/>
      <color rgb="FFFFFFFF"/>
      <name val="Arial"/>
    </font>
    <font>
      <b/>
      <sz val="18.0"/>
      <color rgb="FFFFFFFF"/>
      <name val="Arial"/>
    </font>
    <font>
      <b/>
      <sz val="12.0"/>
      <color rgb="FF57624A"/>
      <name val="Arial"/>
    </font>
    <font>
      <b/>
      <sz val="10.0"/>
      <color rgb="FF6E6E6E"/>
      <name val="Arial"/>
    </font>
    <font>
      <b/>
      <sz val="11.0"/>
      <color rgb="FF57624A"/>
      <name val="Arial"/>
    </font>
    <font>
      <sz val="9.0"/>
      <color rgb="FF6E6E6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7624A"/>
        <bgColor rgb="FF57624A"/>
      </patternFill>
    </fill>
    <fill>
      <patternFill patternType="solid">
        <fgColor rgb="FFEEF0E7"/>
        <bgColor rgb="FFEEF0E7"/>
      </patternFill>
    </fill>
    <fill>
      <patternFill patternType="solid">
        <fgColor rgb="FFF6F6F6"/>
        <bgColor rgb="FFF6F6F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3" fontId="8" numFmtId="1" xfId="0" applyAlignment="1" applyBorder="1" applyFill="1" applyFont="1" applyNumberFormat="1">
      <alignment horizontal="center" shrinkToFit="0" vertical="center" wrapText="0"/>
    </xf>
    <xf borderId="4" fillId="3" fontId="8" numFmtId="164" xfId="0" applyAlignment="1" applyBorder="1" applyFont="1" applyNumberFormat="1">
      <alignment horizontal="center" shrinkToFit="0" vertical="center" wrapText="0"/>
    </xf>
    <xf borderId="4" fillId="4" fontId="9" numFmtId="0" xfId="0" applyAlignment="1" applyBorder="1" applyFill="1" applyFont="1">
      <alignment horizontal="left" shrinkToFit="0" vertical="center" wrapText="1"/>
    </xf>
    <xf borderId="4" fillId="4" fontId="9" numFmtId="165" xfId="0" applyAlignment="1" applyBorder="1" applyFont="1" applyNumberFormat="1">
      <alignment horizontal="center" shrinkToFit="0" vertical="center" wrapText="0"/>
    </xf>
    <xf borderId="4" fillId="0" fontId="9" numFmtId="166" xfId="0" applyAlignment="1" applyBorder="1" applyFont="1" applyNumberFormat="1">
      <alignment horizontal="center" shrinkToFit="0" vertical="center" wrapText="0"/>
    </xf>
    <xf borderId="5" fillId="2" fontId="10" numFmtId="0" xfId="0" applyAlignment="1" applyBorder="1" applyFont="1">
      <alignment horizontal="left" shrinkToFit="0" vertical="center" wrapText="1"/>
    </xf>
    <xf borderId="1" fillId="2" fontId="11" numFmtId="164" xfId="0" applyAlignment="1" applyBorder="1" applyFont="1" applyNumberFormat="1">
      <alignment horizontal="center" shrinkToFit="0" vertical="center" wrapText="0"/>
    </xf>
    <xf borderId="4" fillId="3" fontId="8" numFmtId="166" xfId="0" applyAlignment="1" applyBorder="1" applyFont="1" applyNumberFormat="1">
      <alignment horizontal="center" shrinkToFit="0" vertical="center" wrapText="0"/>
    </xf>
    <xf borderId="4" fillId="0" fontId="9" numFmtId="164" xfId="0" applyAlignment="1" applyBorder="1" applyFont="1" applyNumberFormat="1">
      <alignment horizontal="center" shrinkToFit="0" vertical="center" wrapText="0"/>
    </xf>
    <xf borderId="4" fillId="4" fontId="12" numFmtId="164" xfId="0" applyAlignment="1" applyBorder="1" applyFont="1" applyNumberFormat="1">
      <alignment horizontal="center" shrinkToFit="0" vertical="center" wrapText="0"/>
    </xf>
    <xf borderId="4" fillId="4" fontId="13" numFmtId="0" xfId="0" applyAlignment="1" applyBorder="1" applyFont="1">
      <alignment horizontal="left" shrinkToFit="0" vertical="center" wrapText="0"/>
    </xf>
    <xf borderId="4" fillId="4" fontId="13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4" fontId="9" numFmtId="164" xfId="0" applyAlignment="1" applyBorder="1" applyFont="1" applyNumberForma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0</xdr:row>
      <xdr:rowOff>171450</xdr:rowOff>
    </xdr:from>
    <xdr:ext cx="828675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16.0"/>
    <col customWidth="1" min="6" max="6" width="3.0"/>
    <col customWidth="1" min="7" max="26" width="8.71"/>
  </cols>
  <sheetData>
    <row r="2">
      <c r="B2" s="1" t="s">
        <v>0</v>
      </c>
    </row>
    <row r="3" ht="27.75" customHeight="1">
      <c r="B3" s="2" t="s">
        <v>1</v>
      </c>
    </row>
    <row r="4" ht="30.0" customHeight="1">
      <c r="B4" s="3" t="s">
        <v>2</v>
      </c>
    </row>
    <row r="6" ht="21.75" customHeight="1">
      <c r="B6" s="4" t="s">
        <v>3</v>
      </c>
      <c r="C6" s="5"/>
      <c r="D6" s="5"/>
      <c r="E6" s="6"/>
    </row>
    <row r="7" ht="13.5" customHeight="1">
      <c r="B7" s="7" t="s">
        <v>4</v>
      </c>
    </row>
    <row r="8" ht="25.5" customHeight="1">
      <c r="B8" s="8" t="s">
        <v>5</v>
      </c>
      <c r="C8" s="9">
        <v>300.0</v>
      </c>
      <c r="D8" s="7"/>
    </row>
    <row r="9" ht="25.5" customHeight="1">
      <c r="B9" s="8" t="s">
        <v>6</v>
      </c>
      <c r="C9" s="9">
        <v>85.0</v>
      </c>
      <c r="D9" s="7" t="s">
        <v>7</v>
      </c>
    </row>
    <row r="10" ht="25.5" customHeight="1">
      <c r="B10" s="8" t="s">
        <v>8</v>
      </c>
      <c r="C10" s="9">
        <v>88.0</v>
      </c>
      <c r="D10" s="7" t="s">
        <v>9</v>
      </c>
    </row>
    <row r="11" ht="25.5" customHeight="1">
      <c r="B11" s="8" t="s">
        <v>10</v>
      </c>
      <c r="C11" s="10">
        <v>1900.0</v>
      </c>
      <c r="D11" s="7" t="s">
        <v>11</v>
      </c>
    </row>
    <row r="12" ht="25.5" customHeight="1">
      <c r="B12" s="8" t="s">
        <v>12</v>
      </c>
      <c r="C12" s="10">
        <v>25.0</v>
      </c>
      <c r="D12" s="7"/>
    </row>
    <row r="13" ht="25.5" customHeight="1">
      <c r="B13" s="8" t="s">
        <v>13</v>
      </c>
      <c r="C13" s="9">
        <v>320.0</v>
      </c>
      <c r="D13" s="7"/>
    </row>
    <row r="14" ht="25.5" customHeight="1">
      <c r="B14" s="11" t="s">
        <v>14</v>
      </c>
      <c r="C14" s="12">
        <f>MAX(0,C10-C9)</f>
        <v>3</v>
      </c>
      <c r="D14" s="7" t="s">
        <v>15</v>
      </c>
    </row>
    <row r="16" ht="21.75" customHeight="1">
      <c r="B16" s="4" t="s">
        <v>16</v>
      </c>
      <c r="C16" s="5"/>
      <c r="D16" s="5"/>
      <c r="E16" s="6"/>
    </row>
    <row r="17" ht="27.75" customHeight="1">
      <c r="B17" s="8" t="s">
        <v>17</v>
      </c>
      <c r="C17" s="13">
        <f>C11/100</f>
        <v>19</v>
      </c>
      <c r="D17" s="7" t="s">
        <v>18</v>
      </c>
    </row>
    <row r="18" ht="33.75" customHeight="1">
      <c r="B18" s="14" t="s">
        <v>19</v>
      </c>
      <c r="C18" s="15">
        <f>C8*C14*C17</f>
        <v>17100</v>
      </c>
      <c r="D18" s="5"/>
      <c r="E18" s="6"/>
    </row>
    <row r="20" ht="21.75" customHeight="1">
      <c r="B20" s="4" t="s">
        <v>20</v>
      </c>
      <c r="C20" s="5"/>
      <c r="D20" s="5"/>
      <c r="E20" s="6"/>
    </row>
    <row r="21" ht="24.0" customHeight="1">
      <c r="B21" s="8" t="s">
        <v>21</v>
      </c>
      <c r="C21" s="16">
        <v>1.0</v>
      </c>
      <c r="D21" s="7" t="s">
        <v>22</v>
      </c>
    </row>
    <row r="22" ht="24.0" customHeight="1">
      <c r="B22" s="8" t="s">
        <v>23</v>
      </c>
      <c r="C22" s="17">
        <f>C13*C21</f>
        <v>320</v>
      </c>
    </row>
    <row r="23" ht="25.5" customHeight="1">
      <c r="B23" s="11" t="s">
        <v>24</v>
      </c>
      <c r="C23" s="18">
        <f>C18-C22</f>
        <v>16780</v>
      </c>
    </row>
    <row r="24" ht="15.75" customHeight="1"/>
    <row r="25" ht="21.75" customHeight="1">
      <c r="B25" s="4" t="s">
        <v>25</v>
      </c>
      <c r="C25" s="5"/>
      <c r="D25" s="5"/>
      <c r="E25" s="6"/>
    </row>
    <row r="26" ht="19.5" customHeight="1">
      <c r="B26" s="19" t="s">
        <v>26</v>
      </c>
      <c r="C26" s="20" t="s">
        <v>27</v>
      </c>
      <c r="D26" s="20" t="s">
        <v>28</v>
      </c>
    </row>
    <row r="27" ht="19.5" customHeight="1">
      <c r="B27" s="21">
        <v>100.0</v>
      </c>
      <c r="C27" s="22">
        <f>100*1*C17</f>
        <v>1900</v>
      </c>
      <c r="D27" s="22">
        <f>100*3*C17</f>
        <v>5700</v>
      </c>
    </row>
    <row r="28" ht="19.5" customHeight="1">
      <c r="B28" s="23">
        <v>300.0</v>
      </c>
      <c r="C28" s="24">
        <f>300*1*C17</f>
        <v>5700</v>
      </c>
      <c r="D28" s="24">
        <f>300*3*C17</f>
        <v>17100</v>
      </c>
    </row>
    <row r="29" ht="19.5" customHeight="1">
      <c r="B29" s="21">
        <v>500.0</v>
      </c>
      <c r="C29" s="22">
        <f>500*1*C17</f>
        <v>9500</v>
      </c>
      <c r="D29" s="22">
        <f>500*3*C17</f>
        <v>28500</v>
      </c>
    </row>
    <row r="30" ht="19.5" customHeight="1">
      <c r="B30" s="21">
        <v>1000.0</v>
      </c>
      <c r="C30" s="22">
        <f>1000*1*C17</f>
        <v>19000</v>
      </c>
      <c r="D30" s="22">
        <f>1000*3*C17</f>
        <v>57000</v>
      </c>
    </row>
    <row r="31" ht="15.75" customHeight="1"/>
    <row r="32" ht="15.75" customHeight="1">
      <c r="B32" s="25" t="s">
        <v>29</v>
      </c>
    </row>
    <row r="33" ht="30.0" customHeight="1">
      <c r="B33" s="26" t="s">
        <v>30</v>
      </c>
    </row>
    <row r="34" ht="15.75" customHeight="1"/>
    <row r="35" ht="15.75" customHeight="1"/>
    <row r="36" ht="15.75" customHeight="1">
      <c r="B36" s="27" t="s">
        <v>31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:E2"/>
    <mergeCell ref="B3:E3"/>
    <mergeCell ref="B4:E4"/>
    <mergeCell ref="B6:E6"/>
    <mergeCell ref="B7:E7"/>
    <mergeCell ref="D8:E8"/>
    <mergeCell ref="D9:E9"/>
    <mergeCell ref="C18:E18"/>
    <mergeCell ref="B20:E20"/>
    <mergeCell ref="D21:E21"/>
    <mergeCell ref="B25:E25"/>
    <mergeCell ref="B32:E32"/>
    <mergeCell ref="B33:E34"/>
    <mergeCell ref="B36:E38"/>
    <mergeCell ref="D10:E10"/>
    <mergeCell ref="D11:E11"/>
    <mergeCell ref="D12:E12"/>
    <mergeCell ref="D13:E13"/>
    <mergeCell ref="D14:E14"/>
    <mergeCell ref="B16:E16"/>
    <mergeCell ref="D17:E17"/>
  </mergeCells>
  <printOptions/>
  <pageMargins bottom="1.0" footer="0.0" header="0.0" left="0.75" right="0.75" top="1.0"/>
  <pageSetup paperSize="9" orientation="portrait"/>
  <drawing r:id="rId1"/>
</worksheet>
</file>